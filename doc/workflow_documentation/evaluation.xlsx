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H\4.Semester\KIS4\projekt-bb-g2-pointner-kaltenegger\doc\"/>
    </mc:Choice>
  </mc:AlternateContent>
  <xr:revisionPtr revIDLastSave="0" documentId="13_ncr:1_{7D5DEE23-8B2A-4387-A1D2-BD76A24D1E73}" xr6:coauthVersionLast="47" xr6:coauthVersionMax="47" xr10:uidLastSave="{00000000-0000-0000-0000-000000000000}"/>
  <bookViews>
    <workbookView xWindow="-180" yWindow="-180" windowWidth="38760" windowHeight="21240" activeTab="3" xr2:uid="{13E085B4-8549-4F7A-A15F-5AE90E5F5FCC}"/>
  </bookViews>
  <sheets>
    <sheet name="Tokenverbrauch" sheetId="2" r:id="rId1"/>
    <sheet name="Fehlerbehebungsquote" sheetId="1" r:id="rId2"/>
    <sheet name="Interaktionen" sheetId="3" r:id="rId3"/>
    <sheet name="Bearbeitungszei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2" l="1"/>
  <c r="D6" i="2"/>
  <c r="B6" i="2"/>
  <c r="C34" i="1"/>
  <c r="C33" i="1"/>
  <c r="C32" i="1"/>
  <c r="E25" i="1"/>
  <c r="D34" i="1" s="1"/>
  <c r="D25" i="1"/>
  <c r="C25" i="1"/>
  <c r="B34" i="1" s="1"/>
  <c r="D21" i="1"/>
  <c r="E21" i="1"/>
  <c r="D33" i="1" s="1"/>
  <c r="C21" i="1"/>
  <c r="B33" i="1" s="1"/>
  <c r="D17" i="1"/>
  <c r="E17" i="1"/>
  <c r="D32" i="1" s="1"/>
  <c r="C17" i="1"/>
  <c r="B32" i="1" s="1"/>
  <c r="B8" i="2" l="1"/>
  <c r="E26" i="1"/>
  <c r="D26" i="1"/>
  <c r="C26" i="1"/>
  <c r="B10" i="2" l="1"/>
  <c r="B12" i="2"/>
  <c r="B11" i="2"/>
</calcChain>
</file>

<file path=xl/sharedStrings.xml><?xml version="1.0" encoding="utf-8"?>
<sst xmlns="http://schemas.openxmlformats.org/spreadsheetml/2006/main" count="51" uniqueCount="30">
  <si>
    <t>Workflow 2</t>
  </si>
  <si>
    <t>Workflow 3</t>
  </si>
  <si>
    <t>Fehlerbehebungsquote</t>
  </si>
  <si>
    <t>Beschreibung</t>
  </si>
  <si>
    <t>Falsches Löschen</t>
  </si>
  <si>
    <t>Massen-Update</t>
  </si>
  <si>
    <t>Fehlende Validierung</t>
  </si>
  <si>
    <t>Kaputte Filter</t>
  </si>
  <si>
    <t>Wurde behoben?</t>
  </si>
  <si>
    <t>Workflow 1</t>
  </si>
  <si>
    <t>funktionale Fehler</t>
  </si>
  <si>
    <t>Text-Overflow</t>
  </si>
  <si>
    <t>Überlappende Header</t>
  </si>
  <si>
    <t>Zerstörte Buttons</t>
  </si>
  <si>
    <t>Layout- / Responsive-Design-Fehler</t>
  </si>
  <si>
    <t>Fälligkeitsdatum</t>
  </si>
  <si>
    <t>Dropdown-Priorität</t>
  </si>
  <si>
    <t>"Liste leeren"-Button</t>
  </si>
  <si>
    <t>ungestylte UI-Komponenten</t>
  </si>
  <si>
    <t>Zwischen Ergebnis</t>
  </si>
  <si>
    <t>Gesamt Ergebnis</t>
  </si>
  <si>
    <t>Kategorie</t>
  </si>
  <si>
    <t>Input</t>
  </si>
  <si>
    <t>Output</t>
  </si>
  <si>
    <t>Sonstige</t>
  </si>
  <si>
    <t>Gesamt</t>
  </si>
  <si>
    <t>Tokenverbrauch</t>
  </si>
  <si>
    <t>Anzahl der benötigten Prompts</t>
  </si>
  <si>
    <t>Gesamtbearbeitungszeit in Minuten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</si>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</sst>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22">
    <xf numFmtId="0" fontId="0" fillId="0" borderId="0" xfId="0"/>
    <xf numFmtId="9" fontId="0" fillId="0" borderId="0" xfId="1" applyFont="1"/>
    <xf numFmtId="0" fontId="0" fillId="3" borderId="0" xfId="0" applyFill="1"/>
    <xf numFmtId="9" fontId="0" fillId="3" borderId="0" xfId="1" applyFont="1" applyFill="1" applyAlignment="1">
      <alignment horizontal="center"/>
    </xf>
    <xf numFmtId="0" fontId="2" fillId="2" borderId="1" xfId="2"/>
    <xf numFmtId="9" fontId="2" fillId="2" borderId="1" xfId="2" applyNumberFormat="1" applyAlignment="1">
      <alignment horizontal="center"/>
    </xf>
    <xf numFmtId="0" fontId="3" fillId="0" borderId="0" xfId="0" applyFont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/>
    <xf numFmtId="0" fontId="0" fillId="7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0" xfId="0" applyFill="1"/>
    <xf numFmtId="0" fontId="0" fillId="8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/>
    <xf numFmtId="0" fontId="0" fillId="10" borderId="0" xfId="0" applyFill="1"/>
    <xf numFmtId="0" fontId="3" fillId="0" borderId="0" xfId="0" applyFont="1" applyAlignment="1">
      <alignment horizontal="center"/>
    </xf>
    <xf numFmtId="49" fontId="0" fillId="8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</cellXfs>
  <cellStyles count="3">
    <cellStyle name="Ausgabe" xfId="2" builtinId="21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Tokenverbrauch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91-4B12-B137-CCDA22E112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91-4B12-B137-CCDA22E112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91-4B12-B137-CCDA22E112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Tokenverbrauch!$A$10:$A$12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Tokenverbrauch!$B$10:$B$12</c:f>
              <c:numCache>
                <c:formatCode>0%</c:formatCode>
                <c:ptCount val="3"/>
                <c:pt idx="0">
                  <c:v>4.8393341076267905E-5</c:v>
                </c:pt>
                <c:pt idx="1">
                  <c:v>9.6786682152535811E-5</c:v>
                </c:pt>
                <c:pt idx="2">
                  <c:v>0.99985481997677117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2-406F-BAB6-6045596D67A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 sz="1600" b="1" i="0" u="none" strike="noStrike" cap="all" normalizeH="0" baseline="0">
                <a:effectLst/>
              </a:rPr>
              <a:t>Fehlerbehebungsquote </a:t>
            </a:r>
            <a:endParaRPr lang="de-A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A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Fehlerbehebungsquote!$A$32</c:f>
              <c:strCache>
                <c:ptCount val="1"/>
                <c:pt idx="0">
                  <c:v>funktionale Fehler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Fehlerbehebungsquote!$B$31:$D$31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Fehlerbehebungsquote!$B$32:$D$32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4-449B-B72A-9A006B14B300}"/>
            </c:ext>
          </c:extLst>
        </c:ser>
        <c:ser>
          <c:idx val="1"/>
          <c:order val="1"/>
          <c:tx>
            <c:strRef>
              <c:f>Fehlerbehebungsquote!$A$33</c:f>
              <c:strCache>
                <c:ptCount val="1"/>
                <c:pt idx="0">
                  <c:v>Layout- / Responsive-Design-Fehler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Fehlerbehebungsquote!$B$31:$D$31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Fehlerbehebungsquote!$B$33:$D$33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4-449B-B72A-9A006B14B300}"/>
            </c:ext>
          </c:extLst>
        </c:ser>
        <c:ser>
          <c:idx val="2"/>
          <c:order val="2"/>
          <c:tx>
            <c:strRef>
              <c:f>Fehlerbehebungsquote!$A$34</c:f>
              <c:strCache>
                <c:ptCount val="1"/>
                <c:pt idx="0">
                  <c:v>ungestylte UI-Komponenten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Fehlerbehebungsquote!$B$31:$D$31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Fehlerbehebungsquote!$B$34:$D$34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4-449B-B72A-9A006B14B3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864710016"/>
        <c:axId val="1864708096"/>
      </c:barChart>
      <c:catAx>
        <c:axId val="1864710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708096"/>
        <c:crosses val="autoZero"/>
        <c:auto val="1"/>
        <c:lblAlgn val="ctr"/>
        <c:lblOffset val="100"/>
        <c:noMultiLvlLbl val="0"/>
      </c:catAx>
      <c:valAx>
        <c:axId val="1864708096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47100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Interaktionen!$A$3</c:f>
              <c:strCache>
                <c:ptCount val="1"/>
                <c:pt idx="0">
                  <c:v>Anzahl der benötigten Prompts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Interaktionen!$B$2:$D$2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Interaktionen!$B$3:$D$3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4-453B-8011-3E8577B06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7156880"/>
        <c:axId val="537155920"/>
      </c:barChart>
      <c:catAx>
        <c:axId val="53715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7155920"/>
        <c:crosses val="autoZero"/>
        <c:auto val="1"/>
        <c:lblAlgn val="ctr"/>
        <c:lblOffset val="100"/>
        <c:noMultiLvlLbl val="0"/>
      </c:catAx>
      <c:valAx>
        <c:axId val="53715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3715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Bearbeitungszeit!$A$4</c:f>
              <c:strCache>
                <c:ptCount val="1"/>
                <c:pt idx="0">
                  <c:v>Gesamtbearbeitungszeit in Minuten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Bearbeitungszeit!$B$3:$D$3</c:f>
              <c:strCache>
                <c:ptCount val="3"/>
                <c:pt idx="0">
                  <c:v>Workflow 1</c:v>
                </c:pt>
                <c:pt idx="1">
                  <c:v>Workflow 2</c:v>
                </c:pt>
                <c:pt idx="2">
                  <c:v>Workflow 3</c:v>
                </c:pt>
              </c:strCache>
            </c:strRef>
          </c:cat>
          <c:val>
            <c:numRef>
              <c:f>Bearbeitungszeit!$B$4:$D$4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2-4D50-B629-032CBE1E9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546320"/>
        <c:axId val="391545840"/>
      </c:barChart>
      <c:catAx>
        <c:axId val="391546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1545840"/>
        <c:crosses val="autoZero"/>
        <c:auto val="1"/>
        <c:lblAlgn val="ctr"/>
        <c:lblOffset val="100"/>
        <c:noMultiLvlLbl val="0"/>
      </c:catAx>
      <c:valAx>
        <c:axId val="391545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154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8</xdr:row>
      <xdr:rowOff>185737</xdr:rowOff>
    </xdr:from>
    <xdr:to>
      <xdr:col>9</xdr:col>
      <xdr:colOff>590550</xdr:colOff>
      <xdr:row>23</xdr:row>
      <xdr:rowOff>71437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170393F-11AE-E883-8016-AF0DA9215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600074</xdr:colOff>
      <xdr:row>11</xdr:row>
      <xdr:rowOff>100011</xdr:rowOff>
    </xdr:from>
    <xdr:to>
      <xdr:col>18</xdr:col>
      <xdr:colOff>57149</xdr:colOff>
      <xdr:row>36</xdr:row>
      <xdr:rowOff>38100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884C374-1608-C54A-67AF-0CA69FF81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971550</xdr:colOff>
      <xdr:row>7</xdr:row>
      <xdr:rowOff>80962</xdr:rowOff>
    </xdr:from>
    <xdr:to>
      <xdr:col>5</xdr:col>
      <xdr:colOff>104775</xdr:colOff>
      <xdr:row>21</xdr:row>
      <xdr:rowOff>157162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6C1F6CA-69D6-1EF9-49B5-E7E659FCA5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7</xdr:row>
      <xdr:rowOff>119062</xdr:rowOff>
    </xdr:from>
    <xdr:to>
      <xdr:col>7</xdr:col>
      <xdr:colOff>600075</xdr:colOff>
      <xdr:row>22</xdr:row>
      <xdr:rowOff>4762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494A674-F0C6-7814-04BA-835734AC0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D88A-A011-4143-85FA-BD4253732CFB}">
  <dimension ref="A2:D12"/>
  <sheetViews>
    <sheetView zoomScale="130" zoomScaleNormal="130" workbookViewId="0">
      <selection activeCell="D6" sqref="D6"/>
    </sheetView>
  </sheetViews>
  <sheetFormatPr baseColWidth="10" defaultRowHeight="15" x14ac:dyDescent="0.25"/>
  <cols>
    <col min="1" max="1" width="15.140625" bestFit="1" customWidth="1"/>
  </cols>
  <sheetData>
    <row r="2" spans="1:4" x14ac:dyDescent="0.25">
      <c r="A2" s="6" t="s">
        <v>26</v>
      </c>
      <c r="B2" s="6" t="s">
        <v>9</v>
      </c>
      <c r="C2" s="6" t="s">
        <v>0</v>
      </c>
      <c r="D2" s="6" t="s">
        <v>1</v>
      </c>
    </row>
    <row r="3" spans="1:4" x14ac:dyDescent="0.25">
      <c r="A3" s="8" t="s">
        <v>22</v>
      </c>
      <c r="B3" s="8">
        <v>1</v>
      </c>
      <c r="C3" s="8">
        <v>2</v>
      </c>
      <c r="D3" s="8">
        <v>15784</v>
      </c>
    </row>
    <row r="4" spans="1:4" x14ac:dyDescent="0.25">
      <c r="A4" s="9" t="s">
        <v>23</v>
      </c>
      <c r="B4" s="9">
        <v>0</v>
      </c>
      <c r="C4" s="9">
        <v>0</v>
      </c>
      <c r="D4" s="9">
        <v>4877</v>
      </c>
    </row>
    <row r="5" spans="1:4" x14ac:dyDescent="0.25">
      <c r="A5" s="16" t="s">
        <v>24</v>
      </c>
      <c r="B5" s="16">
        <v>0</v>
      </c>
      <c r="C5" s="16">
        <v>0</v>
      </c>
      <c r="D5" s="16">
        <v>0</v>
      </c>
    </row>
    <row r="6" spans="1:4" x14ac:dyDescent="0.25">
      <c r="A6" s="17" t="s">
        <v>25</v>
      </c>
      <c r="B6" s="17">
        <f>SUM(B3:B5)</f>
        <v>1</v>
      </c>
      <c r="C6" s="17">
        <f t="shared" ref="C6:D6" si="0">SUM(C3:C5)</f>
        <v>2</v>
      </c>
      <c r="D6" s="17">
        <f t="shared" si="0"/>
        <v>20661</v>
      </c>
    </row>
    <row r="8" spans="1:4" x14ac:dyDescent="0.25">
      <c r="A8" t="s">
        <v>25</v>
      </c>
      <c r="B8">
        <f>SUM(B6:D6)</f>
        <v>20664</v>
      </c>
    </row>
    <row r="10" spans="1:4" x14ac:dyDescent="0.25">
      <c r="A10" t="s">
        <v>9</v>
      </c>
      <c r="B10" s="1">
        <f>B6/B8</f>
        <v>4.8393341076267905E-5</v>
      </c>
    </row>
    <row r="11" spans="1:4" x14ac:dyDescent="0.25">
      <c r="A11" t="s">
        <v>0</v>
      </c>
      <c r="B11" s="1">
        <f>C6/B8</f>
        <v>9.6786682152535811E-5</v>
      </c>
    </row>
    <row r="12" spans="1:4" x14ac:dyDescent="0.25">
      <c r="A12" t="s">
        <v>1</v>
      </c>
      <c r="B12" s="1">
        <f>D6/B8</f>
        <v>0.99985481997677117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45CC-0078-4C07-A57F-8916F2BBD535}">
  <dimension ref="A11:E34"/>
  <sheetViews>
    <sheetView workbookViewId="0">
      <selection activeCell="C13" sqref="C13"/>
    </sheetView>
  </sheetViews>
  <sheetFormatPr baseColWidth="10" defaultRowHeight="15" x14ac:dyDescent="0.25"/>
  <cols>
    <col min="1" max="1" width="32.42578125" bestFit="1" customWidth="1"/>
    <col min="2" max="2" width="22.140625" customWidth="1"/>
  </cols>
  <sheetData>
    <row r="11" spans="1:5" x14ac:dyDescent="0.25">
      <c r="C11" t="s">
        <v>9</v>
      </c>
      <c r="D11" t="s">
        <v>0</v>
      </c>
      <c r="E11" t="s">
        <v>1</v>
      </c>
    </row>
    <row r="12" spans="1:5" x14ac:dyDescent="0.25">
      <c r="A12" s="6" t="s">
        <v>2</v>
      </c>
      <c r="B12" s="6" t="s">
        <v>3</v>
      </c>
      <c r="C12" s="18" t="s">
        <v>8</v>
      </c>
      <c r="D12" s="18"/>
      <c r="E12" s="18"/>
    </row>
    <row r="13" spans="1:5" x14ac:dyDescent="0.25">
      <c r="A13" s="20" t="s">
        <v>10</v>
      </c>
      <c r="B13" s="10" t="s">
        <v>4</v>
      </c>
      <c r="C13" s="11" t="b">
        <v>0</v>
      </c>
      <c r="D13" s="11" t="b">
        <v>0</v>
      </c>
      <c r="E13" s="11" t="b">
        <v>1</v>
      </c>
    </row>
    <row r="14" spans="1:5" x14ac:dyDescent="0.25">
      <c r="A14" s="20"/>
      <c r="B14" s="10" t="s">
        <v>5</v>
      </c>
      <c r="C14" s="11" t="b">
        <v>0</v>
      </c>
      <c r="D14" s="11" t="b">
        <v>0</v>
      </c>
      <c r="E14" s="11" t="b">
        <v>1</v>
      </c>
    </row>
    <row r="15" spans="1:5" x14ac:dyDescent="0.25">
      <c r="A15" s="20"/>
      <c r="B15" s="10" t="s">
        <v>6</v>
      </c>
      <c r="C15" s="11" t="b">
        <v>0</v>
      </c>
      <c r="D15" s="11" t="b">
        <v>0</v>
      </c>
      <c r="E15" s="11" t="b">
        <v>1</v>
      </c>
    </row>
    <row r="16" spans="1:5" x14ac:dyDescent="0.25">
      <c r="A16" s="20"/>
      <c r="B16" s="10" t="s">
        <v>7</v>
      </c>
      <c r="C16" s="11" t="b">
        <v>0</v>
      </c>
      <c r="D16" s="11" t="b">
        <v>0</v>
      </c>
      <c r="E16" s="11" t="b">
        <v>1</v>
      </c>
    </row>
    <row r="17" spans="1:5" x14ac:dyDescent="0.25">
      <c r="A17" s="2"/>
      <c r="B17" s="2" t="s">
        <v>19</v>
      </c>
      <c r="C17" s="3">
        <f>(C13+C14+C15+C16) / 4</f>
        <v>0</v>
      </c>
      <c r="D17" s="3">
        <f t="shared" ref="D17:E17" si="0">(D13+D14+D15+D16) / 4</f>
        <v>0</v>
      </c>
      <c r="E17" s="3">
        <f t="shared" si="0"/>
        <v>1</v>
      </c>
    </row>
    <row r="18" spans="1:5" ht="15" customHeight="1" x14ac:dyDescent="0.25">
      <c r="A18" s="21" t="s">
        <v>14</v>
      </c>
      <c r="B18" s="12" t="s">
        <v>11</v>
      </c>
      <c r="C18" s="13" t="b">
        <v>0</v>
      </c>
      <c r="D18" s="13" t="b">
        <v>0</v>
      </c>
      <c r="E18" s="13" t="b">
        <v>1</v>
      </c>
    </row>
    <row r="19" spans="1:5" x14ac:dyDescent="0.25">
      <c r="A19" s="21"/>
      <c r="B19" s="12" t="s">
        <v>12</v>
      </c>
      <c r="C19" s="13" t="b">
        <v>0</v>
      </c>
      <c r="D19" s="13" t="b">
        <v>0</v>
      </c>
      <c r="E19" s="13" t="b">
        <v>1</v>
      </c>
    </row>
    <row r="20" spans="1:5" x14ac:dyDescent="0.25">
      <c r="A20" s="21"/>
      <c r="B20" s="12" t="s">
        <v>13</v>
      </c>
      <c r="C20" s="13" t="b">
        <v>0</v>
      </c>
      <c r="D20" s="13" t="b">
        <v>0</v>
      </c>
      <c r="E20" s="13" t="b">
        <v>1</v>
      </c>
    </row>
    <row r="21" spans="1:5" x14ac:dyDescent="0.25">
      <c r="A21" s="2"/>
      <c r="B21" s="2" t="s">
        <v>19</v>
      </c>
      <c r="C21" s="3">
        <f>(C18+C19+C20) / 3</f>
        <v>0</v>
      </c>
      <c r="D21" s="3">
        <f t="shared" ref="D21:E21" si="1">(D18+D19+D20) / 3</f>
        <v>0</v>
      </c>
      <c r="E21" s="3">
        <f t="shared" si="1"/>
        <v>1</v>
      </c>
    </row>
    <row r="22" spans="1:5" x14ac:dyDescent="0.25">
      <c r="A22" s="19" t="s">
        <v>18</v>
      </c>
      <c r="B22" s="14" t="s">
        <v>15</v>
      </c>
      <c r="C22" s="15" t="b">
        <v>0</v>
      </c>
      <c r="D22" s="15" t="b">
        <v>0</v>
      </c>
      <c r="E22" s="15" t="b">
        <v>1</v>
      </c>
    </row>
    <row r="23" spans="1:5" x14ac:dyDescent="0.25">
      <c r="A23" s="19"/>
      <c r="B23" s="14" t="s">
        <v>16</v>
      </c>
      <c r="C23" s="15" t="b">
        <v>0</v>
      </c>
      <c r="D23" s="15" t="b">
        <v>0</v>
      </c>
      <c r="E23" s="15" t="b">
        <v>1</v>
      </c>
    </row>
    <row r="24" spans="1:5" x14ac:dyDescent="0.25">
      <c r="A24" s="19"/>
      <c r="B24" s="14" t="s">
        <v>17</v>
      </c>
      <c r="C24" s="15" t="b">
        <v>0</v>
      </c>
      <c r="D24" s="15" t="b">
        <v>0</v>
      </c>
      <c r="E24" s="15" t="b">
        <v>1</v>
      </c>
    </row>
    <row r="25" spans="1:5" x14ac:dyDescent="0.25">
      <c r="A25" s="2"/>
      <c r="B25" s="2" t="s">
        <v>19</v>
      </c>
      <c r="C25" s="3">
        <f>(C22+C23+C24) / 3</f>
        <v>0</v>
      </c>
      <c r="D25" s="3">
        <f t="shared" ref="D25" si="2">(D22+D23+D24) / 3</f>
        <v>0</v>
      </c>
      <c r="E25" s="3">
        <f t="shared" ref="E25" si="3">(E22+E23+E24) / 3</f>
        <v>1</v>
      </c>
    </row>
    <row r="26" spans="1:5" x14ac:dyDescent="0.25">
      <c r="A26" s="4"/>
      <c r="B26" s="4" t="s">
        <v>20</v>
      </c>
      <c r="C26" s="5">
        <f>(C17+C21+C25) / 3</f>
        <v>0</v>
      </c>
      <c r="D26" s="5">
        <f t="shared" ref="D26:E26" si="4">(D17+D21+D25) / 3</f>
        <v>0</v>
      </c>
      <c r="E26" s="5">
        <f t="shared" si="4"/>
        <v>1</v>
      </c>
    </row>
    <row r="31" spans="1:5" x14ac:dyDescent="0.25">
      <c r="A31" t="s">
        <v>21</v>
      </c>
      <c r="B31" t="s">
        <v>9</v>
      </c>
      <c r="C31" t="s">
        <v>0</v>
      </c>
      <c r="D31" t="s">
        <v>1</v>
      </c>
    </row>
    <row r="32" spans="1:5" x14ac:dyDescent="0.25">
      <c r="A32" t="s">
        <v>10</v>
      </c>
      <c r="B32" s="7">
        <f>C17 / 3</f>
        <v>0</v>
      </c>
      <c r="C32" s="7">
        <f t="shared" ref="C32:D32" si="5">D17 / 3</f>
        <v>0</v>
      </c>
      <c r="D32" s="7">
        <f t="shared" si="5"/>
        <v>0.33333333333333331</v>
      </c>
    </row>
    <row r="33" spans="1:4" x14ac:dyDescent="0.25">
      <c r="A33" t="s">
        <v>14</v>
      </c>
      <c r="B33" s="7">
        <f>C21 / 3</f>
        <v>0</v>
      </c>
      <c r="C33" s="7">
        <f t="shared" ref="C33:D33" si="6">D21 / 3</f>
        <v>0</v>
      </c>
      <c r="D33" s="7">
        <f t="shared" si="6"/>
        <v>0.33333333333333331</v>
      </c>
    </row>
    <row r="34" spans="1:4" ht="15" customHeight="1" x14ac:dyDescent="0.25">
      <c r="A34" t="s">
        <v>18</v>
      </c>
      <c r="B34" s="7">
        <f>C25 / 3</f>
        <v>0</v>
      </c>
      <c r="C34" s="7">
        <f t="shared" ref="C34:D34" si="7">D25 / 3</f>
        <v>0</v>
      </c>
      <c r="D34" s="7">
        <f t="shared" si="7"/>
        <v>0.33333333333333331</v>
      </c>
    </row>
  </sheetData>
  <mergeCells count="4">
    <mergeCell ref="C12:E12"/>
    <mergeCell ref="A22:A24"/>
    <mergeCell ref="A13:A16"/>
    <mergeCell ref="A18:A20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22413-C3D2-40D7-A1DB-B6AB301C943B}">
  <dimension ref="A2:D3"/>
  <sheetViews>
    <sheetView workbookViewId="0">
      <selection activeCell="D4" sqref="D4"/>
    </sheetView>
  </sheetViews>
  <sheetFormatPr baseColWidth="10" defaultRowHeight="15" x14ac:dyDescent="0.25"/>
  <cols>
    <col min="1" max="1" width="35.85546875" bestFit="1" customWidth="1"/>
  </cols>
  <sheetData>
    <row r="2" spans="1:4" x14ac:dyDescent="0.25">
      <c r="B2" t="s">
        <v>9</v>
      </c>
      <c r="C2" t="s">
        <v>0</v>
      </c>
      <c r="D2" t="s">
        <v>1</v>
      </c>
    </row>
    <row r="3" spans="1:4" x14ac:dyDescent="0.25">
      <c r="A3" t="s">
        <v>27</v>
      </c>
      <c r="B3">
        <v>1</v>
      </c>
      <c r="C3">
        <v>2</v>
      </c>
      <c r="D3">
        <v>3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5CD3-687F-4FF8-93F5-9086833EE15B}">
  <dimension ref="A3:D4"/>
  <sheetViews>
    <sheetView tabSelected="1" workbookViewId="0">
      <selection activeCell="D5" sqref="D5"/>
    </sheetView>
  </sheetViews>
  <sheetFormatPr baseColWidth="10" defaultRowHeight="15" x14ac:dyDescent="0.25"/>
  <cols>
    <col min="1" max="1" width="32.5703125" bestFit="1" customWidth="1"/>
  </cols>
  <sheetData>
    <row r="3" spans="1:4" x14ac:dyDescent="0.25">
      <c r="A3" t="s">
        <v>29</v>
      </c>
      <c r="B3" t="s">
        <v>9</v>
      </c>
      <c r="C3" t="s">
        <v>0</v>
      </c>
      <c r="D3" t="s">
        <v>1</v>
      </c>
    </row>
    <row r="4" spans="1:4" x14ac:dyDescent="0.25">
      <c r="A4" t="s">
        <v>28</v>
      </c>
      <c r="B4">
        <v>5</v>
      </c>
      <c r="C4">
        <v>3</v>
      </c>
      <c r="D4">
        <v>15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919978-9748-43C9-AC1A-AB703CA232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Tokenverbrauch</vt:lpstr>
      <vt:lpstr>Fehlerbehebungsquote</vt:lpstr>
      <vt:lpstr>Interaktionen</vt:lpstr>
      <vt:lpstr>Bearbeitungszeit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Pointner Andreas - s2410307029</dc:creator>
  <cp:lastModifiedBy>Pointner Andreas - s2410307029</cp:lastModifiedBy>
  <dcterms:created xsi:type="dcterms:W3CDTF">2026-06-05T15:15:17Z</dcterms:created>
  <dcterms:modified xsi:type="dcterms:W3CDTF">2026-06-13T15:34:44Z</dcterms:modified>
</cp:coreProperties>
</file>